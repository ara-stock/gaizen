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産記録" sheetId="1" r:id="rId1"/>
    <sheet name="ダッシュボード" sheetId="2" r:id="rId2"/>
    <sheet name="使い方" sheetId="3" r:id="rId3"/>
    <sheet name="記入例（架空）" sheetId="4" r:id="rId4"/>
  </sheets>
  <definedNames>
    <definedName name="_xlnm.Print_Area" localSheetId="0">資産記録!$A$1:$N$44</definedName>
    <definedName name="_xlnm.Print_Titles" localSheetId="0">資産記録!$1:$4</definedName>
  </definedNames>
  <calcPr calcId="124519" fullCalcOnLoad="1"/>
</workbook>
</file>

<file path=xl/comments1.xml><?xml version="1.0" encoding="utf-8"?>
<comments xmlns="http://schemas.openxmlformats.org/spreadsheetml/2006/main">
  <authors>
    <author>GAIZEN FINANCE</author>
  </authors>
  <commentList>
    <comment ref="C4" authorId="0">
      <text>
        <r>
          <rPr>
            <sz val="8"/>
            <color indexed="81"/>
            <rFont val="Tahoma"/>
            <family val="2"/>
          </rPr>
          <t>給料日やクレジットカードの支払いが終わった後など、毎月ほぼ同じ条件で記録すると比較しやすくなります。</t>
        </r>
      </text>
    </comment>
  </commentList>
</comments>
</file>

<file path=xl/sharedStrings.xml><?xml version="1.0" encoding="utf-8"?>
<sst xmlns="http://schemas.openxmlformats.org/spreadsheetml/2006/main" count="98" uniqueCount="86">
  <si>
    <t>月次資産記録</t>
  </si>
  <si>
    <t>毎月ほぼ同じタイミングで、各口座の月末時点の円換算残高を黄色いセルへ入力します。金額は半角数字で入力してください。</t>
  </si>
  <si>
    <t>大項目</t>
  </si>
  <si>
    <t>項目</t>
  </si>
  <si>
    <t>2026年1月</t>
  </si>
  <si>
    <t>2026年2月</t>
  </si>
  <si>
    <t>2026年3月</t>
  </si>
  <si>
    <t>2026年4月</t>
  </si>
  <si>
    <t>2026年5月</t>
  </si>
  <si>
    <t>2026年6月</t>
  </si>
  <si>
    <t>2026年7月</t>
  </si>
  <si>
    <t>2026年8月</t>
  </si>
  <si>
    <t>2026年9月</t>
  </si>
  <si>
    <t>2026年10月</t>
  </si>
  <si>
    <t>2026年11月</t>
  </si>
  <si>
    <t>2026年12月</t>
  </si>
  <si>
    <t>楽天銀行</t>
  </si>
  <si>
    <t>三菱UFJ銀行</t>
  </si>
  <si>
    <t>三井住友銀行</t>
  </si>
  <si>
    <t>みずほ銀行</t>
  </si>
  <si>
    <t>ゆうちょ銀行</t>
  </si>
  <si>
    <t>埼玉りそな銀行</t>
  </si>
  <si>
    <t>あおぞら銀行</t>
  </si>
  <si>
    <t>auじぶん銀行</t>
  </si>
  <si>
    <t>SBI新生銀行</t>
  </si>
  <si>
    <t>銀行</t>
  </si>
  <si>
    <t>銀行 小計</t>
  </si>
  <si>
    <t>楽天証券</t>
  </si>
  <si>
    <t>マネックス証券</t>
  </si>
  <si>
    <t>SBI証券</t>
  </si>
  <si>
    <t>野村證券</t>
  </si>
  <si>
    <t>証券会社</t>
  </si>
  <si>
    <t>証券会社 小計</t>
  </si>
  <si>
    <t>iDeCo</t>
  </si>
  <si>
    <t>iDeCo 小計</t>
  </si>
  <si>
    <t>確定拠出年金</t>
  </si>
  <si>
    <t>確定拠出年金 小計</t>
  </si>
  <si>
    <t>PayPay</t>
  </si>
  <si>
    <t>FamiPay</t>
  </si>
  <si>
    <t>楽天ポイント</t>
  </si>
  <si>
    <t>dポイント</t>
  </si>
  <si>
    <t>Vポイント</t>
  </si>
  <si>
    <t>Pontaポイント</t>
  </si>
  <si>
    <t>WAONポイント</t>
  </si>
  <si>
    <t>Amazonギフト残高</t>
  </si>
  <si>
    <t>アプリ・ポイント</t>
  </si>
  <si>
    <t>アプリ・ポイント 小計</t>
  </si>
  <si>
    <t>QUOカード</t>
  </si>
  <si>
    <t>VJAギフトカード</t>
  </si>
  <si>
    <t>Visaギフトカード</t>
  </si>
  <si>
    <t>商品券</t>
  </si>
  <si>
    <t>商品券 小計</t>
  </si>
  <si>
    <t>現金</t>
  </si>
  <si>
    <t>現金 小計</t>
  </si>
  <si>
    <t>暗号資産（円換算）</t>
  </si>
  <si>
    <t>暗号資産</t>
  </si>
  <si>
    <t>暗号資産 小計</t>
  </si>
  <si>
    <t>合計</t>
  </si>
  <si>
    <t>前月比（金額）</t>
  </si>
  <si>
    <t>前月比（率）</t>
  </si>
  <si>
    <t>1月末比（金額）</t>
  </si>
  <si>
    <t>入力件数</t>
  </si>
  <si>
    <t>資産推移ダッシュボード</t>
  </si>
  <si>
    <t>資産記録シートへ入力すると、総資産とカテゴリ別残高の棒グラフが自動で更新されます。</t>
  </si>
  <si>
    <t>最新入力月</t>
  </si>
  <si>
    <t>最新の総資産</t>
  </si>
  <si>
    <t>直近の前月比</t>
  </si>
  <si>
    <t>1月末からの増減</t>
  </si>
  <si>
    <t>入力は月1回、同じタイミングで。短期の上下より、年単位で積み上がっているかを確認します。</t>
  </si>
  <si>
    <t>注意: 資産額の増減には入出金と運用損益の両方が含まれます。この表だけでは正確な運用利回りを算出できません。</t>
  </si>
  <si>
    <t>このテンプレートの使い方</t>
  </si>
  <si>
    <t>個人情報や実際の資産額を含まない、GAIZEN FINANCEの配布用テンプレートです。</t>
  </si>
  <si>
    <t>1. 毎月の残高を入力する</t>
  </si>
  <si>
    <t>「資産記録」シートの黄色いセルへ、各口座の月末時点の残高を円単位で入力します。給料日やクレジットカードの支払いが終わった後など、毎月ほぼ同じタイミングで記録すると比較しやすくなります。暗号資産は記録日時点の円換算額を入力します。</t>
  </si>
  <si>
    <t>2. 自分に不要な項目を整理する</t>
  </si>
  <si>
    <t>使っていない銀行や証券会社は項目名を変更して利用できます。行を削除すると数式やグラフの参照がずれる場合があるため、不要な行は空欄のまま残すか、別の口座名へ変更する方法が安全です。</t>
  </si>
  <si>
    <t>3. ダッシュボードで推移を見る</t>
  </si>
  <si>
    <t>「ダッシュボード」シートでは、総資産の推移とカテゴリ別残高を棒グラフで確認できます。前月比には運用損益だけでなく、給与・賞与からの入金や生活費の支出も含まれます。単月の増減だけで投資成績を判断しないでください。</t>
  </si>
  <si>
    <t>Googleスプレッドシートで使う</t>
  </si>
  <si>
    <t>Googleドライブで［新規］→［ファイルのアップロード］からこのExcelファイルを選び、Googleスプレッドシートとして開きます。取り込み後は、ご自身のGoogleアカウント内で管理してください。配布元のGoogleアカウントや個人情報はこのファイルに含まれていません。</t>
  </si>
  <si>
    <t>未記録の月は全欄を空欄にし、確認済みの残高ゼロには0を入力します。一部の口座だけ入力した月も集計されるため、全口座を確認してから比較してください。借入残高を差し引く純資産や、運用利回り・税務上の損益を計算する表ではありません。1月末比は1月末の残高との比較で、暦年の年間損益ではありません。</t>
  </si>
  <si>
    <t>GAIZEN FINANCE｜資産額を毎月記録する方法</t>
  </si>
  <si>
    <t>記入例（架空の金額・単位：円）</t>
  </si>
  <si>
    <t>筆者の実績ではありません。入力用シートやダッシュボードとは連動していない、計算の説明用シートです。</t>
  </si>
  <si>
    <t>口座</t>
  </si>
  <si>
    <t>2月の増加7万円は運用益とは限りません。仮に給与等の収入30万円、生活費等の支出24万円なら、差し引き入金は6万円。残る1万円も、入出金・記録漏れを照合して初めて運用損益等と判断できます。銀行から証券への振替は合計を増やしません。</t>
  </si>
</sst>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;[Red]-0.0%;&quot;-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6"/>
      <color rgb="FF132238"/>
      <name val="Calibri"/>
      <family val="2"/>
      <scheme val="minor"/>
    </font>
    <font>
      <b/>
      <sz val="13"/>
      <color rgb="FF087F5B"/>
      <name val="Calibri"/>
      <family val="2"/>
      <scheme val="minor"/>
    </font>
    <font>
      <sz val="11"/>
      <color rgb="FF132238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32238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87F5B"/>
        <bgColor indexed="64"/>
      </patternFill>
    </fill>
    <fill>
      <patternFill patternType="solid">
        <fgColor rgb="FFE8F5EF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87F5B"/>
      </left>
      <right style="thin">
        <color rgb="FF087F5B"/>
      </right>
      <top style="thin">
        <color rgb="FF087F5B"/>
      </top>
      <bottom style="thin">
        <color rgb="FF087F5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/>
      <bottom style="medium">
        <color rgb="FF00A86B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/>
    <xf numFmtId="164" fontId="3" fillId="13" borderId="2" xfId="0" applyNumberFormat="1" applyFont="1" applyFill="1" applyBorder="1" applyAlignment="1">
      <alignment horizontal="right"/>
    </xf>
    <xf numFmtId="0" fontId="4" fillId="14" borderId="1" xfId="0" applyFont="1" applyFill="1" applyBorder="1"/>
    <xf numFmtId="164" fontId="0" fillId="14" borderId="1" xfId="0" applyNumberForma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6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164" fontId="7" fillId="3" borderId="4" xfId="0" applyNumberFormat="1" applyFont="1" applyFill="1" applyBorder="1" applyAlignment="1">
      <alignment horizontal="left" vertical="center"/>
    </xf>
    <xf numFmtId="0" fontId="8" fillId="0" borderId="5" xfId="0" applyFont="1" applyBorder="1"/>
    <xf numFmtId="0" fontId="9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0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color rgb="FFB91C1C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総資産の推移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総資産</c:v>
          </c:tx>
          <c:spPr>
            <a:solidFill>
              <a:srgbClr val="00A86B"/>
            </a:solidFill>
            <a:ln>
              <a:solidFill>
                <a:srgbClr val="087F5B"/>
              </a:solidFill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資産記録!$C$41:$N$41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円</a:t>
                </a:r>
              </a:p>
            </c:rich>
          </c:tx>
          <c:layout/>
        </c:title>
        <c:numFmt formatCode="#,##0,&quot;千&quot;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カテゴリ別残高の推移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銀行</c:v>
          </c:tx>
          <c:spPr>
            <a:solidFill>
              <a:srgbClr val="73B66B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資産記録!$C$14:$N$14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証券会社</c:v>
          </c:tx>
          <c:spPr>
            <a:solidFill>
              <a:srgbClr val="E58C8C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資産記録!$C$19:$N$19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iDeCo</c:v>
          </c:tx>
          <c:spPr>
            <a:solidFill>
              <a:srgbClr val="6FA8DC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資産記録!$C$21:$N$21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確定拠出年金</c:v>
          </c:tx>
          <c:spPr>
            <a:solidFill>
              <a:srgbClr val="8E7CC3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資産記録!$C$23:$N$23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v>アプリ・ポイント</c:v>
          </c:tx>
          <c:spPr>
            <a:solidFill>
              <a:srgbClr val="F6B26B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資産記録!$C$32:$N$32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5"/>
          <c:order val="5"/>
          <c:tx>
            <c:v>商品券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資産記録!$C$36:$N$36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v>現金</c:v>
          </c:tx>
          <c:spPr>
            <a:solidFill>
              <a:srgbClr val="A2C4C9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資産記録!$C$38:$N$38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v>暗号資産</c:v>
          </c:tx>
          <c:spPr>
            <a:solidFill>
              <a:srgbClr val="4A86E8"/>
            </a:solidFill>
            <a:ln>
              <a:noFill/>
            </a:ln>
          </c:spPr>
          <c:cat>
            <c:strRef>
              <c:f>資産記録!$C$4:$N$4</c:f>
              <c:strCache>
                <c:ptCount val="12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  <c:pt idx="3">
                  <c:v>2026年4月</c:v>
                </c:pt>
                <c:pt idx="4">
                  <c:v>2026年5月</c:v>
                </c:pt>
                <c:pt idx="5">
                  <c:v>2026年6月</c:v>
                </c:pt>
                <c:pt idx="6">
                  <c:v>2026年7月</c:v>
                </c:pt>
                <c:pt idx="7">
                  <c:v>2026年8月</c:v>
                </c:pt>
                <c:pt idx="8">
                  <c:v>2026年9月</c:v>
                </c:pt>
                <c:pt idx="9">
                  <c:v>2026年10月</c:v>
                </c:pt>
                <c:pt idx="10">
                  <c:v>2026年11月</c:v>
                </c:pt>
                <c:pt idx="11">
                  <c:v>2026年12月</c:v>
                </c:pt>
              </c:strCache>
            </c:strRef>
          </c:cat>
          <c:val>
            <c:numRef>
              <c:f>資産記録!$C$40:$N$40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円</a:t>
                </a:r>
              </a:p>
            </c:rich>
          </c:tx>
          <c:layout/>
        </c:title>
        <c:numFmt formatCode="#,##0,&quot;千&quot;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架空の記入例：総資産の推移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総資産（架空）</c:v>
          </c:tx>
          <c:spPr>
            <a:solidFill>
              <a:srgbClr val="00A86B"/>
            </a:solidFill>
          </c:spPr>
          <c:cat>
            <c:strRef>
              <c:f>'記入例（架空）'!$B$5:$D$5</c:f>
              <c:strCache>
                <c:ptCount val="3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</c:strCache>
            </c:strRef>
          </c:cat>
          <c:val>
            <c:numRef>
              <c:f>'記入例（架空）'!$B$10:$D$10</c:f>
              <c:numCache>
                <c:formatCode>General</c:formatCode>
                <c:ptCount val="3"/>
                <c:pt idx="0">
                  <c:v>1900000</c:v>
                </c:pt>
                <c:pt idx="1">
                  <c:v>1970000</c:v>
                </c:pt>
                <c:pt idx="2">
                  <c:v>1980000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円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342900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10</xdr:col>
      <xdr:colOff>342900</xdr:colOff>
      <xdr:row>49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3</xdr:col>
      <xdr:colOff>561975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aizen.xyz/blog/monthly-asset-tracking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A86B"/>
    <pageSetUpPr fitToPage="1"/>
  </sheetPr>
  <dimension ref="A1:N4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22.7109375" customWidth="1"/>
    <col min="3" max="14" width="14.7109375" customWidth="1"/>
  </cols>
  <sheetData>
    <row r="1" spans="1:14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 t="s">
        <v>25</v>
      </c>
      <c r="B5" s="5" t="s">
        <v>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>
      <c r="A6" s="4"/>
      <c r="B6" s="5" t="s">
        <v>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>
      <c r="A7" s="4"/>
      <c r="B7" s="5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>
      <c r="A8" s="4"/>
      <c r="B8" s="5" t="s">
        <v>19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>
      <c r="A9" s="4"/>
      <c r="B9" s="5" t="s">
        <v>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4"/>
      <c r="B10" s="5" t="s">
        <v>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4"/>
      <c r="B11" s="5" t="s">
        <v>22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4"/>
      <c r="B12" s="5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4"/>
      <c r="B13" s="5" t="s">
        <v>24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7"/>
      <c r="B14" s="7" t="s">
        <v>26</v>
      </c>
      <c r="C14" s="8">
        <f>IF(COUNT(C5:C13)=0,"",SUM(C5:C13))</f>
        <v/>
      </c>
      <c r="D14" s="8">
        <f>IF(COUNT(D5:D13)=0,"",SUM(D5:D13))</f>
        <v/>
      </c>
      <c r="E14" s="8">
        <f>IF(COUNT(E5:E13)=0,"",SUM(E5:E13))</f>
        <v/>
      </c>
      <c r="F14" s="8">
        <f>IF(COUNT(F5:F13)=0,"",SUM(F5:F13))</f>
        <v/>
      </c>
      <c r="G14" s="8">
        <f>IF(COUNT(G5:G13)=0,"",SUM(G5:G13))</f>
        <v/>
      </c>
      <c r="H14" s="8">
        <f>IF(COUNT(H5:H13)=0,"",SUM(H5:H13))</f>
        <v/>
      </c>
      <c r="I14" s="8">
        <f>IF(COUNT(I5:I13)=0,"",SUM(I5:I13))</f>
        <v/>
      </c>
      <c r="J14" s="8">
        <f>IF(COUNT(J5:J13)=0,"",SUM(J5:J13))</f>
        <v/>
      </c>
      <c r="K14" s="8">
        <f>IF(COUNT(K5:K13)=0,"",SUM(K5:K13))</f>
        <v/>
      </c>
      <c r="L14" s="8">
        <f>IF(COUNT(L5:L13)=0,"",SUM(L5:L13))</f>
        <v/>
      </c>
      <c r="M14" s="8">
        <f>IF(COUNT(M5:M13)=0,"",SUM(M5:M13))</f>
        <v/>
      </c>
      <c r="N14" s="8">
        <f>IF(COUNT(N5:N13)=0,"",SUM(N5:N13))</f>
        <v/>
      </c>
    </row>
    <row r="15" spans="1:14">
      <c r="A15" s="9" t="s">
        <v>31</v>
      </c>
      <c r="B15" s="5" t="s">
        <v>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9"/>
      <c r="B16" s="5" t="s">
        <v>28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9"/>
      <c r="B17" s="5" t="s">
        <v>29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9"/>
      <c r="B18" s="5" t="s">
        <v>30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7"/>
      <c r="B19" s="7" t="s">
        <v>32</v>
      </c>
      <c r="C19" s="8">
        <f>IF(COUNT(C15:C18)=0,"",SUM(C15:C18))</f>
        <v/>
      </c>
      <c r="D19" s="8">
        <f>IF(COUNT(D15:D18)=0,"",SUM(D15:D18))</f>
        <v/>
      </c>
      <c r="E19" s="8">
        <f>IF(COUNT(E15:E18)=0,"",SUM(E15:E18))</f>
        <v/>
      </c>
      <c r="F19" s="8">
        <f>IF(COUNT(F15:F18)=0,"",SUM(F15:F18))</f>
        <v/>
      </c>
      <c r="G19" s="8">
        <f>IF(COUNT(G15:G18)=0,"",SUM(G15:G18))</f>
        <v/>
      </c>
      <c r="H19" s="8">
        <f>IF(COUNT(H15:H18)=0,"",SUM(H15:H18))</f>
        <v/>
      </c>
      <c r="I19" s="8">
        <f>IF(COUNT(I15:I18)=0,"",SUM(I15:I18))</f>
        <v/>
      </c>
      <c r="J19" s="8">
        <f>IF(COUNT(J15:J18)=0,"",SUM(J15:J18))</f>
        <v/>
      </c>
      <c r="K19" s="8">
        <f>IF(COUNT(K15:K18)=0,"",SUM(K15:K18))</f>
        <v/>
      </c>
      <c r="L19" s="8">
        <f>IF(COUNT(L15:L18)=0,"",SUM(L15:L18))</f>
        <v/>
      </c>
      <c r="M19" s="8">
        <f>IF(COUNT(M15:M18)=0,"",SUM(M15:M18))</f>
        <v/>
      </c>
      <c r="N19" s="8">
        <f>IF(COUNT(N15:N18)=0,"",SUM(N15:N18))</f>
        <v/>
      </c>
    </row>
    <row r="20" spans="1:14">
      <c r="A20" s="10" t="s">
        <v>33</v>
      </c>
      <c r="B20" s="5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7"/>
      <c r="B21" s="7" t="s">
        <v>34</v>
      </c>
      <c r="C21" s="8">
        <f>IF(COUNT(C20:C20)=0,"",SUM(C20:C20))</f>
        <v/>
      </c>
      <c r="D21" s="8">
        <f>IF(COUNT(D20:D20)=0,"",SUM(D20:D20))</f>
        <v/>
      </c>
      <c r="E21" s="8">
        <f>IF(COUNT(E20:E20)=0,"",SUM(E20:E20))</f>
        <v/>
      </c>
      <c r="F21" s="8">
        <f>IF(COUNT(F20:F20)=0,"",SUM(F20:F20))</f>
        <v/>
      </c>
      <c r="G21" s="8">
        <f>IF(COUNT(G20:G20)=0,"",SUM(G20:G20))</f>
        <v/>
      </c>
      <c r="H21" s="8">
        <f>IF(COUNT(H20:H20)=0,"",SUM(H20:H20))</f>
        <v/>
      </c>
      <c r="I21" s="8">
        <f>IF(COUNT(I20:I20)=0,"",SUM(I20:I20))</f>
        <v/>
      </c>
      <c r="J21" s="8">
        <f>IF(COUNT(J20:J20)=0,"",SUM(J20:J20))</f>
        <v/>
      </c>
      <c r="K21" s="8">
        <f>IF(COUNT(K20:K20)=0,"",SUM(K20:K20))</f>
        <v/>
      </c>
      <c r="L21" s="8">
        <f>IF(COUNT(L20:L20)=0,"",SUM(L20:L20))</f>
        <v/>
      </c>
      <c r="M21" s="8">
        <f>IF(COUNT(M20:M20)=0,"",SUM(M20:M20))</f>
        <v/>
      </c>
      <c r="N21" s="8">
        <f>IF(COUNT(N20:N20)=0,"",SUM(N20:N20))</f>
        <v/>
      </c>
    </row>
    <row r="22" spans="1:14">
      <c r="A22" s="11" t="s">
        <v>35</v>
      </c>
      <c r="B22" s="5" t="s">
        <v>30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7"/>
      <c r="B23" s="7" t="s">
        <v>36</v>
      </c>
      <c r="C23" s="8">
        <f>IF(COUNT(C22:C22)=0,"",SUM(C22:C22))</f>
        <v/>
      </c>
      <c r="D23" s="8">
        <f>IF(COUNT(D22:D22)=0,"",SUM(D22:D22))</f>
        <v/>
      </c>
      <c r="E23" s="8">
        <f>IF(COUNT(E22:E22)=0,"",SUM(E22:E22))</f>
        <v/>
      </c>
      <c r="F23" s="8">
        <f>IF(COUNT(F22:F22)=0,"",SUM(F22:F22))</f>
        <v/>
      </c>
      <c r="G23" s="8">
        <f>IF(COUNT(G22:G22)=0,"",SUM(G22:G22))</f>
        <v/>
      </c>
      <c r="H23" s="8">
        <f>IF(COUNT(H22:H22)=0,"",SUM(H22:H22))</f>
        <v/>
      </c>
      <c r="I23" s="8">
        <f>IF(COUNT(I22:I22)=0,"",SUM(I22:I22))</f>
        <v/>
      </c>
      <c r="J23" s="8">
        <f>IF(COUNT(J22:J22)=0,"",SUM(J22:J22))</f>
        <v/>
      </c>
      <c r="K23" s="8">
        <f>IF(COUNT(K22:K22)=0,"",SUM(K22:K22))</f>
        <v/>
      </c>
      <c r="L23" s="8">
        <f>IF(COUNT(L22:L22)=0,"",SUM(L22:L22))</f>
        <v/>
      </c>
      <c r="M23" s="8">
        <f>IF(COUNT(M22:M22)=0,"",SUM(M22:M22))</f>
        <v/>
      </c>
      <c r="N23" s="8">
        <f>IF(COUNT(N22:N22)=0,"",SUM(N22:N22))</f>
        <v/>
      </c>
    </row>
    <row r="24" spans="1:14">
      <c r="A24" s="12" t="s">
        <v>45</v>
      </c>
      <c r="B24" s="5" t="s">
        <v>37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12"/>
      <c r="B25" s="5" t="s">
        <v>38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12"/>
      <c r="B26" s="5" t="s">
        <v>39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12"/>
      <c r="B27" s="5" t="s">
        <v>40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12"/>
      <c r="B28" s="5" t="s">
        <v>41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12"/>
      <c r="B29" s="5" t="s">
        <v>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12"/>
      <c r="B30" s="5" t="s">
        <v>43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12"/>
      <c r="B31" s="5" t="s">
        <v>44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7"/>
      <c r="B32" s="7" t="s">
        <v>46</v>
      </c>
      <c r="C32" s="8">
        <f>IF(COUNT(C24:C31)=0,"",SUM(C24:C31))</f>
        <v/>
      </c>
      <c r="D32" s="8">
        <f>IF(COUNT(D24:D31)=0,"",SUM(D24:D31))</f>
        <v/>
      </c>
      <c r="E32" s="8">
        <f>IF(COUNT(E24:E31)=0,"",SUM(E24:E31))</f>
        <v/>
      </c>
      <c r="F32" s="8">
        <f>IF(COUNT(F24:F31)=0,"",SUM(F24:F31))</f>
        <v/>
      </c>
      <c r="G32" s="8">
        <f>IF(COUNT(G24:G31)=0,"",SUM(G24:G31))</f>
        <v/>
      </c>
      <c r="H32" s="8">
        <f>IF(COUNT(H24:H31)=0,"",SUM(H24:H31))</f>
        <v/>
      </c>
      <c r="I32" s="8">
        <f>IF(COUNT(I24:I31)=0,"",SUM(I24:I31))</f>
        <v/>
      </c>
      <c r="J32" s="8">
        <f>IF(COUNT(J24:J31)=0,"",SUM(J24:J31))</f>
        <v/>
      </c>
      <c r="K32" s="8">
        <f>IF(COUNT(K24:K31)=0,"",SUM(K24:K31))</f>
        <v/>
      </c>
      <c r="L32" s="8">
        <f>IF(COUNT(L24:L31)=0,"",SUM(L24:L31))</f>
        <v/>
      </c>
      <c r="M32" s="8">
        <f>IF(COUNT(M24:M31)=0,"",SUM(M24:M31))</f>
        <v/>
      </c>
      <c r="N32" s="8">
        <f>IF(COUNT(N24:N31)=0,"",SUM(N24:N31))</f>
        <v/>
      </c>
    </row>
    <row r="33" spans="1:14">
      <c r="A33" s="13" t="s">
        <v>50</v>
      </c>
      <c r="B33" s="5" t="s">
        <v>47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13"/>
      <c r="B34" s="5" t="s">
        <v>48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13"/>
      <c r="B35" s="5" t="s">
        <v>49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7"/>
      <c r="B36" s="7" t="s">
        <v>51</v>
      </c>
      <c r="C36" s="8">
        <f>IF(COUNT(C33:C35)=0,"",SUM(C33:C35))</f>
        <v/>
      </c>
      <c r="D36" s="8">
        <f>IF(COUNT(D33:D35)=0,"",SUM(D33:D35))</f>
        <v/>
      </c>
      <c r="E36" s="8">
        <f>IF(COUNT(E33:E35)=0,"",SUM(E33:E35))</f>
        <v/>
      </c>
      <c r="F36" s="8">
        <f>IF(COUNT(F33:F35)=0,"",SUM(F33:F35))</f>
        <v/>
      </c>
      <c r="G36" s="8">
        <f>IF(COUNT(G33:G35)=0,"",SUM(G33:G35))</f>
        <v/>
      </c>
      <c r="H36" s="8">
        <f>IF(COUNT(H33:H35)=0,"",SUM(H33:H35))</f>
        <v/>
      </c>
      <c r="I36" s="8">
        <f>IF(COUNT(I33:I35)=0,"",SUM(I33:I35))</f>
        <v/>
      </c>
      <c r="J36" s="8">
        <f>IF(COUNT(J33:J35)=0,"",SUM(J33:J35))</f>
        <v/>
      </c>
      <c r="K36" s="8">
        <f>IF(COUNT(K33:K35)=0,"",SUM(K33:K35))</f>
        <v/>
      </c>
      <c r="L36" s="8">
        <f>IF(COUNT(L33:L35)=0,"",SUM(L33:L35))</f>
        <v/>
      </c>
      <c r="M36" s="8">
        <f>IF(COUNT(M33:M35)=0,"",SUM(M33:M35))</f>
        <v/>
      </c>
      <c r="N36" s="8">
        <f>IF(COUNT(N33:N35)=0,"",SUM(N33:N35))</f>
        <v/>
      </c>
    </row>
    <row r="37" spans="1:14">
      <c r="A37" s="14" t="s">
        <v>52</v>
      </c>
      <c r="B37" s="5" t="s">
        <v>52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7"/>
      <c r="B38" s="7" t="s">
        <v>53</v>
      </c>
      <c r="C38" s="8">
        <f>IF(COUNT(C37:C37)=0,"",SUM(C37:C37))</f>
        <v/>
      </c>
      <c r="D38" s="8">
        <f>IF(COUNT(D37:D37)=0,"",SUM(D37:D37))</f>
        <v/>
      </c>
      <c r="E38" s="8">
        <f>IF(COUNT(E37:E37)=0,"",SUM(E37:E37))</f>
        <v/>
      </c>
      <c r="F38" s="8">
        <f>IF(COUNT(F37:F37)=0,"",SUM(F37:F37))</f>
        <v/>
      </c>
      <c r="G38" s="8">
        <f>IF(COUNT(G37:G37)=0,"",SUM(G37:G37))</f>
        <v/>
      </c>
      <c r="H38" s="8">
        <f>IF(COUNT(H37:H37)=0,"",SUM(H37:H37))</f>
        <v/>
      </c>
      <c r="I38" s="8">
        <f>IF(COUNT(I37:I37)=0,"",SUM(I37:I37))</f>
        <v/>
      </c>
      <c r="J38" s="8">
        <f>IF(COUNT(J37:J37)=0,"",SUM(J37:J37))</f>
        <v/>
      </c>
      <c r="K38" s="8">
        <f>IF(COUNT(K37:K37)=0,"",SUM(K37:K37))</f>
        <v/>
      </c>
      <c r="L38" s="8">
        <f>IF(COUNT(L37:L37)=0,"",SUM(L37:L37))</f>
        <v/>
      </c>
      <c r="M38" s="8">
        <f>IF(COUNT(M37:M37)=0,"",SUM(M37:M37))</f>
        <v/>
      </c>
      <c r="N38" s="8">
        <f>IF(COUNT(N37:N37)=0,"",SUM(N37:N37))</f>
        <v/>
      </c>
    </row>
    <row r="39" spans="1:14">
      <c r="A39" s="15" t="s">
        <v>55</v>
      </c>
      <c r="B39" s="5" t="s">
        <v>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7"/>
      <c r="B40" s="7" t="s">
        <v>56</v>
      </c>
      <c r="C40" s="8">
        <f>IF(COUNT(C39:C39)=0,"",SUM(C39:C39))</f>
        <v/>
      </c>
      <c r="D40" s="8">
        <f>IF(COUNT(D39:D39)=0,"",SUM(D39:D39))</f>
        <v/>
      </c>
      <c r="E40" s="8">
        <f>IF(COUNT(E39:E39)=0,"",SUM(E39:E39))</f>
        <v/>
      </c>
      <c r="F40" s="8">
        <f>IF(COUNT(F39:F39)=0,"",SUM(F39:F39))</f>
        <v/>
      </c>
      <c r="G40" s="8">
        <f>IF(COUNT(G39:G39)=0,"",SUM(G39:G39))</f>
        <v/>
      </c>
      <c r="H40" s="8">
        <f>IF(COUNT(H39:H39)=0,"",SUM(H39:H39))</f>
        <v/>
      </c>
      <c r="I40" s="8">
        <f>IF(COUNT(I39:I39)=0,"",SUM(I39:I39))</f>
        <v/>
      </c>
      <c r="J40" s="8">
        <f>IF(COUNT(J39:J39)=0,"",SUM(J39:J39))</f>
        <v/>
      </c>
      <c r="K40" s="8">
        <f>IF(COUNT(K39:K39)=0,"",SUM(K39:K39))</f>
        <v/>
      </c>
      <c r="L40" s="8">
        <f>IF(COUNT(L39:L39)=0,"",SUM(L39:L39))</f>
        <v/>
      </c>
      <c r="M40" s="8">
        <f>IF(COUNT(M39:M39)=0,"",SUM(M39:M39))</f>
        <v/>
      </c>
      <c r="N40" s="8">
        <f>IF(COUNT(N39:N39)=0,"",SUM(N39:N39))</f>
        <v/>
      </c>
    </row>
    <row r="41" spans="1:14" ht="24" customHeight="1">
      <c r="A41" s="16" t="s">
        <v>57</v>
      </c>
      <c r="B41" s="16"/>
      <c r="C41" s="17">
        <f>IF(COUNT(C5,C6,C7,C8,C9,C10,C11,C12,C13,C15,C16,C17,C18,C20,C22,C24,C25,C26,C27,C28,C29,C30,C31,C33,C34,C35,C37,C39)=0,"",SUM(C14,C19,C21,C23,C32,C36,C38,C40))</f>
        <v/>
      </c>
      <c r="D41" s="17">
        <f>IF(COUNT(D5,D6,D7,D8,D9,D10,D11,D12,D13,D15,D16,D17,D18,D20,D22,D24,D25,D26,D27,D28,D29,D30,D31,D33,D34,D35,D37,D39)=0,"",SUM(D14,D19,D21,D23,D32,D36,D38,D40))</f>
        <v/>
      </c>
      <c r="E41" s="17">
        <f>IF(COUNT(E5,E6,E7,E8,E9,E10,E11,E12,E13,E15,E16,E17,E18,E20,E22,E24,E25,E26,E27,E28,E29,E30,E31,E33,E34,E35,E37,E39)=0,"",SUM(E14,E19,E21,E23,E32,E36,E38,E40))</f>
        <v/>
      </c>
      <c r="F41" s="17">
        <f>IF(COUNT(F5,F6,F7,F8,F9,F10,F11,F12,F13,F15,F16,F17,F18,F20,F22,F24,F25,F26,F27,F28,F29,F30,F31,F33,F34,F35,F37,F39)=0,"",SUM(F14,F19,F21,F23,F32,F36,F38,F40))</f>
        <v/>
      </c>
      <c r="G41" s="17">
        <f>IF(COUNT(G5,G6,G7,G8,G9,G10,G11,G12,G13,G15,G16,G17,G18,G20,G22,G24,G25,G26,G27,G28,G29,G30,G31,G33,G34,G35,G37,G39)=0,"",SUM(G14,G19,G21,G23,G32,G36,G38,G40))</f>
        <v/>
      </c>
      <c r="H41" s="17">
        <f>IF(COUNT(H5,H6,H7,H8,H9,H10,H11,H12,H13,H15,H16,H17,H18,H20,H22,H24,H25,H26,H27,H28,H29,H30,H31,H33,H34,H35,H37,H39)=0,"",SUM(H14,H19,H21,H23,H32,H36,H38,H40))</f>
        <v/>
      </c>
      <c r="I41" s="17">
        <f>IF(COUNT(I5,I6,I7,I8,I9,I10,I11,I12,I13,I15,I16,I17,I18,I20,I22,I24,I25,I26,I27,I28,I29,I30,I31,I33,I34,I35,I37,I39)=0,"",SUM(I14,I19,I21,I23,I32,I36,I38,I40))</f>
        <v/>
      </c>
      <c r="J41" s="17">
        <f>IF(COUNT(J5,J6,J7,J8,J9,J10,J11,J12,J13,J15,J16,J17,J18,J20,J22,J24,J25,J26,J27,J28,J29,J30,J31,J33,J34,J35,J37,J39)=0,"",SUM(J14,J19,J21,J23,J32,J36,J38,J40))</f>
        <v/>
      </c>
      <c r="K41" s="17">
        <f>IF(COUNT(K5,K6,K7,K8,K9,K10,K11,K12,K13,K15,K16,K17,K18,K20,K22,K24,K25,K26,K27,K28,K29,K30,K31,K33,K34,K35,K37,K39)=0,"",SUM(K14,K19,K21,K23,K32,K36,K38,K40))</f>
        <v/>
      </c>
      <c r="L41" s="17">
        <f>IF(COUNT(L5,L6,L7,L8,L9,L10,L11,L12,L13,L15,L16,L17,L18,L20,L22,L24,L25,L26,L27,L28,L29,L30,L31,L33,L34,L35,L37,L39)=0,"",SUM(L14,L19,L21,L23,L32,L36,L38,L40))</f>
        <v/>
      </c>
      <c r="M41" s="17">
        <f>IF(COUNT(M5,M6,M7,M8,M9,M10,M11,M12,M13,M15,M16,M17,M18,M20,M22,M24,M25,M26,M27,M28,M29,M30,M31,M33,M34,M35,M37,M39)=0,"",SUM(M14,M19,M21,M23,M32,M36,M38,M40))</f>
        <v/>
      </c>
      <c r="N41" s="17">
        <f>IF(COUNT(N5,N6,N7,N8,N9,N10,N11,N12,N13,N15,N16,N17,N18,N20,N22,N24,N25,N26,N27,N28,N29,N30,N31,N33,N34,N35,N37,N39)=0,"",SUM(N14,N19,N21,N23,N32,N36,N38,N40))</f>
        <v/>
      </c>
    </row>
    <row r="42" spans="1:14">
      <c r="A42" s="18" t="s">
        <v>58</v>
      </c>
      <c r="B42" s="18"/>
      <c r="C42" s="19"/>
      <c r="D42" s="19">
        <f>IF(COUNT(D41,C41)&lt;2,"",D41-C41)</f>
        <v/>
      </c>
      <c r="E42" s="19">
        <f>IF(COUNT(E41,D41)&lt;2,"",E41-D41)</f>
        <v/>
      </c>
      <c r="F42" s="19">
        <f>IF(COUNT(F41,E41)&lt;2,"",F41-E41)</f>
        <v/>
      </c>
      <c r="G42" s="19">
        <f>IF(COUNT(G41,F41)&lt;2,"",G41-F41)</f>
        <v/>
      </c>
      <c r="H42" s="19">
        <f>IF(COUNT(H41,G41)&lt;2,"",H41-G41)</f>
        <v/>
      </c>
      <c r="I42" s="19">
        <f>IF(COUNT(I41,H41)&lt;2,"",I41-H41)</f>
        <v/>
      </c>
      <c r="J42" s="19">
        <f>IF(COUNT(J41,I41)&lt;2,"",J41-I41)</f>
        <v/>
      </c>
      <c r="K42" s="19">
        <f>IF(COUNT(K41,J41)&lt;2,"",K41-J41)</f>
        <v/>
      </c>
      <c r="L42" s="19">
        <f>IF(COUNT(L41,K41)&lt;2,"",L41-K41)</f>
        <v/>
      </c>
      <c r="M42" s="19">
        <f>IF(COUNT(M41,L41)&lt;2,"",M41-L41)</f>
        <v/>
      </c>
      <c r="N42" s="19">
        <f>IF(COUNT(N41,M41)&lt;2,"",N41-M41)</f>
        <v/>
      </c>
    </row>
    <row r="43" spans="1:14">
      <c r="A43" s="18" t="s">
        <v>59</v>
      </c>
      <c r="B43" s="18"/>
      <c r="C43" s="20"/>
      <c r="D43" s="20">
        <f>IF(COUNT(D41,C41)&lt;2,"",IFERROR(D41/C41-1,""))</f>
        <v/>
      </c>
      <c r="E43" s="20">
        <f>IF(COUNT(E41,D41)&lt;2,"",IFERROR(E41/D41-1,""))</f>
        <v/>
      </c>
      <c r="F43" s="20">
        <f>IF(COUNT(F41,E41)&lt;2,"",IFERROR(F41/E41-1,""))</f>
        <v/>
      </c>
      <c r="G43" s="20">
        <f>IF(COUNT(G41,F41)&lt;2,"",IFERROR(G41/F41-1,""))</f>
        <v/>
      </c>
      <c r="H43" s="20">
        <f>IF(COUNT(H41,G41)&lt;2,"",IFERROR(H41/G41-1,""))</f>
        <v/>
      </c>
      <c r="I43" s="20">
        <f>IF(COUNT(I41,H41)&lt;2,"",IFERROR(I41/H41-1,""))</f>
        <v/>
      </c>
      <c r="J43" s="20">
        <f>IF(COUNT(J41,I41)&lt;2,"",IFERROR(J41/I41-1,""))</f>
        <v/>
      </c>
      <c r="K43" s="20">
        <f>IF(COUNT(K41,J41)&lt;2,"",IFERROR(K41/J41-1,""))</f>
        <v/>
      </c>
      <c r="L43" s="20">
        <f>IF(COUNT(L41,K41)&lt;2,"",IFERROR(L41/K41-1,""))</f>
        <v/>
      </c>
      <c r="M43" s="20">
        <f>IF(COUNT(M41,L41)&lt;2,"",IFERROR(M41/L41-1,""))</f>
        <v/>
      </c>
      <c r="N43" s="20">
        <f>IF(COUNT(N41,M41)&lt;2,"",IFERROR(N41/M41-1,""))</f>
        <v/>
      </c>
    </row>
    <row r="44" spans="1:14">
      <c r="A44" s="18" t="s">
        <v>60</v>
      </c>
      <c r="B44" s="18"/>
      <c r="C44" s="19">
        <f>IF(ISNUMBER(C41),0,"")</f>
        <v/>
      </c>
      <c r="D44" s="19">
        <f>IF(COUNT(D41,$C$41)&lt;2,"",D41-$C$41)</f>
        <v/>
      </c>
      <c r="E44" s="19">
        <f>IF(COUNT(E41,$C$41)&lt;2,"",E41-$C$41)</f>
        <v/>
      </c>
      <c r="F44" s="19">
        <f>IF(COUNT(F41,$C$41)&lt;2,"",F41-$C$41)</f>
        <v/>
      </c>
      <c r="G44" s="19">
        <f>IF(COUNT(G41,$C$41)&lt;2,"",G41-$C$41)</f>
        <v/>
      </c>
      <c r="H44" s="19">
        <f>IF(COUNT(H41,$C$41)&lt;2,"",H41-$C$41)</f>
        <v/>
      </c>
      <c r="I44" s="19">
        <f>IF(COUNT(I41,$C$41)&lt;2,"",I41-$C$41)</f>
        <v/>
      </c>
      <c r="J44" s="19">
        <f>IF(COUNT(J41,$C$41)&lt;2,"",J41-$C$41)</f>
        <v/>
      </c>
      <c r="K44" s="19">
        <f>IF(COUNT(K41,$C$41)&lt;2,"",K41-$C$41)</f>
        <v/>
      </c>
      <c r="L44" s="19">
        <f>IF(COUNT(L41,$C$41)&lt;2,"",L41-$C$41)</f>
        <v/>
      </c>
      <c r="M44" s="19">
        <f>IF(COUNT(M41,$C$41)&lt;2,"",M41-$C$41)</f>
        <v/>
      </c>
      <c r="N44" s="19">
        <f>IF(COUNT(N41,$C$41)&lt;2,"",N41-$C$41)</f>
        <v/>
      </c>
    </row>
    <row r="45" spans="1:14" hidden="1">
      <c r="B45" t="s">
        <v>61</v>
      </c>
      <c r="C45">
        <f>COUNT(C5,C6,C7,C8,C9,C10,C11,C12,C13,C15,C16,C17,C18,C20,C22,C24,C25,C26,C27,C28,C29,C30,C31,C33,C34,C35,C37,C39)</f>
        <v>0</v>
      </c>
      <c r="D45">
        <f>COUNT(D5,D6,D7,D8,D9,D10,D11,D12,D13,D15,D16,D17,D18,D20,D22,D24,D25,D26,D27,D28,D29,D30,D31,D33,D34,D35,D37,D39)</f>
        <v>0</v>
      </c>
      <c r="E45">
        <f>COUNT(E5,E6,E7,E8,E9,E10,E11,E12,E13,E15,E16,E17,E18,E20,E22,E24,E25,E26,E27,E28,E29,E30,E31,E33,E34,E35,E37,E39)</f>
        <v>0</v>
      </c>
      <c r="F45">
        <f>COUNT(F5,F6,F7,F8,F9,F10,F11,F12,F13,F15,F16,F17,F18,F20,F22,F24,F25,F26,F27,F28,F29,F30,F31,F33,F34,F35,F37,F39)</f>
        <v>0</v>
      </c>
      <c r="G45">
        <f>COUNT(G5,G6,G7,G8,G9,G10,G11,G12,G13,G15,G16,G17,G18,G20,G22,G24,G25,G26,G27,G28,G29,G30,G31,G33,G34,G35,G37,G39)</f>
        <v>0</v>
      </c>
      <c r="H45">
        <f>COUNT(H5,H6,H7,H8,H9,H10,H11,H12,H13,H15,H16,H17,H18,H20,H22,H24,H25,H26,H27,H28,H29,H30,H31,H33,H34,H35,H37,H39)</f>
        <v>0</v>
      </c>
      <c r="I45">
        <f>COUNT(I5,I6,I7,I8,I9,I10,I11,I12,I13,I15,I16,I17,I18,I20,I22,I24,I25,I26,I27,I28,I29,I30,I31,I33,I34,I35,I37,I39)</f>
        <v>0</v>
      </c>
      <c r="J45">
        <f>COUNT(J5,J6,J7,J8,J9,J10,J11,J12,J13,J15,J16,J17,J18,J20,J22,J24,J25,J26,J27,J28,J29,J30,J31,J33,J34,J35,J37,J39)</f>
        <v>0</v>
      </c>
      <c r="K45">
        <f>COUNT(K5,K6,K7,K8,K9,K10,K11,K12,K13,K15,K16,K17,K18,K20,K22,K24,K25,K26,K27,K28,K29,K30,K31,K33,K34,K35,K37,K39)</f>
        <v>0</v>
      </c>
      <c r="L45">
        <f>COUNT(L5,L6,L7,L8,L9,L10,L11,L12,L13,L15,L16,L17,L18,L20,L22,L24,L25,L26,L27,L28,L29,L30,L31,L33,L34,L35,L37,L39)</f>
        <v>0</v>
      </c>
      <c r="M45">
        <f>COUNT(M5,M6,M7,M8,M9,M10,M11,M12,M13,M15,M16,M17,M18,M20,M22,M24,M25,M26,M27,M28,M29,M30,M31,M33,M34,M35,M37,M39)</f>
        <v>0</v>
      </c>
      <c r="N45">
        <f>COUNT(N5,N6,N7,N8,N9,N10,N11,N12,N13,N15,N16,N17,N18,N20,N22,N24,N25,N26,N27,N28,N29,N30,N31,N33,N34,N35,N37,N39)</f>
        <v>0</v>
      </c>
    </row>
  </sheetData>
  <mergeCells count="10">
    <mergeCell ref="A1:N1"/>
    <mergeCell ref="A2:N2"/>
    <mergeCell ref="A5:A13"/>
    <mergeCell ref="A15:A18"/>
    <mergeCell ref="A24:A31"/>
    <mergeCell ref="A33:A35"/>
    <mergeCell ref="A41:B41"/>
    <mergeCell ref="A42:B42"/>
    <mergeCell ref="A43:B43"/>
    <mergeCell ref="A44:B44"/>
  </mergeCells>
  <conditionalFormatting sqref="D42:N44">
    <cfRule type="cellIs" dxfId="0" priority="1" operator="lessThan">
      <formula>0</formula>
    </cfRule>
  </conditionalFormatting>
  <dataValidations count="28"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5:N5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6:N6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7:N7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8:N8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9:N9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0:N10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1:N11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2:N12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3:N13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5:N15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6:N16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7:N17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18:N18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0:N20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2:N22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4:N24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5:N25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6:N26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7:N27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8:N28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29:N29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0:N30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1:N31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3:N33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4:N34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5:N35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7:N37">
      <formula1>0</formula1>
    </dataValidation>
    <dataValidation type="whole" operator="greaterThanOrEqual" allowBlank="1" showInputMessage="1" showErrorMessage="1" errorTitle="入力を確認してください" error="0以上の半角数字で入力してください。" promptTitle="月末残高" prompt="円換算した0以上の整数を入力してください。" sqref="C39:N39">
      <formula1>0</formula1>
    </dataValidation>
  </dataValidations>
  <pageMargins left="0.25" right="0.25" top="0.5" bottom="0.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9A84C"/>
  </sheetPr>
  <dimension ref="A1:M52"/>
  <sheetViews>
    <sheetView showGridLines="0" workbookViewId="0"/>
  </sheetViews>
  <sheetFormatPr defaultRowHeight="15"/>
  <cols>
    <col min="1" max="1" width="3.7109375" customWidth="1"/>
    <col min="2" max="13" width="13.7109375" customWidth="1"/>
  </cols>
  <sheetData>
    <row r="1" spans="2:13" ht="34" customHeight="1">
      <c r="B1" s="1" t="s">
        <v>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2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13">
      <c r="B4" s="21" t="s">
        <v>64</v>
      </c>
      <c r="C4" s="21"/>
      <c r="D4" s="21"/>
      <c r="E4" s="21"/>
      <c r="F4" s="21" t="s">
        <v>65</v>
      </c>
      <c r="G4" s="21"/>
      <c r="H4" s="21"/>
      <c r="I4" s="21"/>
      <c r="J4" s="21" t="s">
        <v>66</v>
      </c>
      <c r="K4" s="21"/>
      <c r="L4" s="21"/>
      <c r="M4" s="21"/>
    </row>
    <row r="5" spans="2:13">
      <c r="B5" s="22" t="str">
        <f>IFERROR(LOOKUP(2,1/('資産記録'!$C$45:$N$45&gt;0),'資産記録'!$C$4:$N$4),"未入力")</f>
        <v>未入力</v>
      </c>
      <c r="C5" s="22"/>
      <c r="D5" s="22"/>
      <c r="E5" s="22"/>
      <c r="F5" s="23">
        <f>IFERROR(LOOKUP(2,1/('資産記録'!$C$45:$N$45&gt;0),'資産記録'!$C$41:$N$41),"")</f>
        <v/>
      </c>
      <c r="G5" s="23"/>
      <c r="H5" s="23"/>
      <c r="I5" s="23"/>
      <c r="J5" s="23" t="str">
        <f>IFERROR(LOOKUP(2,1/('資産記録'!$C$45:$N$45&gt;0),IF(ISNUMBER('資産記録'!$C$42:$N$42),'資産記録'!$C$42:$N$42,"比較不可")),"未入力")</f>
        <v>未入力</v>
      </c>
      <c r="K5" s="23"/>
      <c r="L5" s="23"/>
      <c r="M5" s="23"/>
    </row>
    <row r="6" spans="2:13">
      <c r="B6" s="22"/>
      <c r="C6" s="22"/>
      <c r="D6" s="22"/>
      <c r="E6" s="22"/>
      <c r="F6" s="23"/>
      <c r="G6" s="23"/>
      <c r="H6" s="23"/>
      <c r="I6" s="23"/>
      <c r="J6" s="23"/>
      <c r="K6" s="23"/>
      <c r="L6" s="23"/>
      <c r="M6" s="23"/>
    </row>
    <row r="8" spans="2:13">
      <c r="B8" s="21" t="s">
        <v>67</v>
      </c>
      <c r="C8" s="21"/>
      <c r="D8" s="21"/>
      <c r="E8" s="21"/>
      <c r="F8" s="2" t="s">
        <v>68</v>
      </c>
      <c r="G8" s="2"/>
      <c r="H8" s="2"/>
      <c r="I8" s="2"/>
      <c r="J8" s="2"/>
      <c r="K8" s="2"/>
      <c r="L8" s="2"/>
      <c r="M8" s="2"/>
    </row>
    <row r="9" spans="2:13">
      <c r="B9" s="23" t="str">
        <f>IFERROR(LOOKUP(2,1/('資産記録'!$C$45:$N$45&gt;0),IF(ISNUMBER('資産記録'!$C$44:$N$44),'資産記録'!$C$44:$N$44,"比較不可")),"未入力")</f>
        <v>未入力</v>
      </c>
      <c r="C9" s="23"/>
      <c r="D9" s="23"/>
      <c r="E9" s="23"/>
      <c r="F9" s="2"/>
      <c r="G9" s="2"/>
      <c r="H9" s="2"/>
      <c r="I9" s="2"/>
      <c r="J9" s="2"/>
      <c r="K9" s="2"/>
      <c r="L9" s="2"/>
      <c r="M9" s="2"/>
    </row>
    <row r="10" spans="2:13">
      <c r="B10" s="23"/>
      <c r="C10" s="23"/>
      <c r="D10" s="23"/>
      <c r="E10" s="23"/>
      <c r="F10" s="2"/>
      <c r="G10" s="2"/>
      <c r="H10" s="2"/>
      <c r="I10" s="2"/>
      <c r="J10" s="2"/>
      <c r="K10" s="2"/>
      <c r="L10" s="2"/>
      <c r="M10" s="2"/>
    </row>
    <row r="51" spans="2:13">
      <c r="B51" s="2" t="s">
        <v>69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</sheetData>
  <mergeCells count="12">
    <mergeCell ref="B1:M1"/>
    <mergeCell ref="B2:M2"/>
    <mergeCell ref="B4:E4"/>
    <mergeCell ref="B5:E6"/>
    <mergeCell ref="F4:I4"/>
    <mergeCell ref="F5:I6"/>
    <mergeCell ref="J4:M4"/>
    <mergeCell ref="J5:M6"/>
    <mergeCell ref="B8:E8"/>
    <mergeCell ref="B9:E10"/>
    <mergeCell ref="F8:M10"/>
    <mergeCell ref="B51:M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32238"/>
  </sheetPr>
  <dimension ref="A1:H33"/>
  <sheetViews>
    <sheetView showGridLines="0" workbookViewId="0"/>
  </sheetViews>
  <sheetFormatPr defaultRowHeight="15"/>
  <cols>
    <col min="1" max="1" width="3.7109375" customWidth="1"/>
    <col min="2" max="2" width="22.7109375" customWidth="1"/>
    <col min="3" max="8" width="15.7109375" customWidth="1"/>
  </cols>
  <sheetData>
    <row r="1" spans="2:8" ht="34" customHeight="1">
      <c r="B1" s="1" t="s">
        <v>70</v>
      </c>
      <c r="C1" s="1"/>
      <c r="D1" s="1"/>
      <c r="E1" s="1"/>
      <c r="F1" s="1"/>
      <c r="G1" s="1"/>
      <c r="H1" s="1"/>
    </row>
    <row r="2" spans="2:8">
      <c r="B2" s="2" t="s">
        <v>71</v>
      </c>
      <c r="C2" s="2"/>
      <c r="D2" s="2"/>
      <c r="E2" s="2"/>
      <c r="F2" s="2"/>
      <c r="G2" s="2"/>
      <c r="H2" s="2"/>
    </row>
    <row r="4" spans="2:8">
      <c r="B4" s="24" t="s">
        <v>72</v>
      </c>
      <c r="C4" s="24"/>
      <c r="D4" s="24"/>
      <c r="E4" s="24"/>
      <c r="F4" s="24"/>
      <c r="G4" s="24"/>
      <c r="H4" s="24"/>
    </row>
    <row r="5" spans="2:8">
      <c r="B5" s="25" t="s">
        <v>73</v>
      </c>
      <c r="C5" s="25"/>
      <c r="D5" s="25"/>
      <c r="E5" s="25"/>
      <c r="F5" s="25"/>
      <c r="G5" s="25"/>
      <c r="H5" s="25"/>
    </row>
    <row r="6" spans="2:8">
      <c r="B6" s="25"/>
      <c r="C6" s="25"/>
      <c r="D6" s="25"/>
      <c r="E6" s="25"/>
      <c r="F6" s="25"/>
      <c r="G6" s="25"/>
      <c r="H6" s="25"/>
    </row>
    <row r="7" spans="2:8">
      <c r="B7" s="25"/>
      <c r="C7" s="25"/>
      <c r="D7" s="25"/>
      <c r="E7" s="25"/>
      <c r="F7" s="25"/>
      <c r="G7" s="25"/>
      <c r="H7" s="25"/>
    </row>
    <row r="8" spans="2:8">
      <c r="B8" s="25"/>
      <c r="C8" s="25"/>
      <c r="D8" s="25"/>
      <c r="E8" s="25"/>
      <c r="F8" s="25"/>
      <c r="G8" s="25"/>
      <c r="H8" s="25"/>
    </row>
    <row r="10" spans="2:8">
      <c r="B10" s="24" t="s">
        <v>74</v>
      </c>
      <c r="C10" s="24"/>
      <c r="D10" s="24"/>
      <c r="E10" s="24"/>
      <c r="F10" s="24"/>
      <c r="G10" s="24"/>
      <c r="H10" s="24"/>
    </row>
    <row r="11" spans="2:8">
      <c r="B11" s="25" t="s">
        <v>75</v>
      </c>
      <c r="C11" s="25"/>
      <c r="D11" s="25"/>
      <c r="E11" s="25"/>
      <c r="F11" s="25"/>
      <c r="G11" s="25"/>
      <c r="H11" s="25"/>
    </row>
    <row r="12" spans="2:8">
      <c r="B12" s="25"/>
      <c r="C12" s="25"/>
      <c r="D12" s="25"/>
      <c r="E12" s="25"/>
      <c r="F12" s="25"/>
      <c r="G12" s="25"/>
      <c r="H12" s="25"/>
    </row>
    <row r="13" spans="2:8">
      <c r="B13" s="25"/>
      <c r="C13" s="25"/>
      <c r="D13" s="25"/>
      <c r="E13" s="25"/>
      <c r="F13" s="25"/>
      <c r="G13" s="25"/>
      <c r="H13" s="25"/>
    </row>
    <row r="14" spans="2:8">
      <c r="B14" s="25"/>
      <c r="C14" s="25"/>
      <c r="D14" s="25"/>
      <c r="E14" s="25"/>
      <c r="F14" s="25"/>
      <c r="G14" s="25"/>
      <c r="H14" s="25"/>
    </row>
    <row r="16" spans="2:8">
      <c r="B16" s="24" t="s">
        <v>76</v>
      </c>
      <c r="C16" s="24"/>
      <c r="D16" s="24"/>
      <c r="E16" s="24"/>
      <c r="F16" s="24"/>
      <c r="G16" s="24"/>
      <c r="H16" s="24"/>
    </row>
    <row r="17" spans="2:8">
      <c r="B17" s="25" t="s">
        <v>77</v>
      </c>
      <c r="C17" s="25"/>
      <c r="D17" s="25"/>
      <c r="E17" s="25"/>
      <c r="F17" s="25"/>
      <c r="G17" s="25"/>
      <c r="H17" s="25"/>
    </row>
    <row r="18" spans="2:8">
      <c r="B18" s="25"/>
      <c r="C18" s="25"/>
      <c r="D18" s="25"/>
      <c r="E18" s="25"/>
      <c r="F18" s="25"/>
      <c r="G18" s="25"/>
      <c r="H18" s="25"/>
    </row>
    <row r="19" spans="2:8">
      <c r="B19" s="25"/>
      <c r="C19" s="25"/>
      <c r="D19" s="25"/>
      <c r="E19" s="25"/>
      <c r="F19" s="25"/>
      <c r="G19" s="25"/>
      <c r="H19" s="25"/>
    </row>
    <row r="20" spans="2:8">
      <c r="B20" s="25"/>
      <c r="C20" s="25"/>
      <c r="D20" s="25"/>
      <c r="E20" s="25"/>
      <c r="F20" s="25"/>
      <c r="G20" s="25"/>
      <c r="H20" s="25"/>
    </row>
    <row r="22" spans="2:8">
      <c r="B22" s="24" t="s">
        <v>78</v>
      </c>
      <c r="C22" s="24"/>
      <c r="D22" s="24"/>
      <c r="E22" s="24"/>
      <c r="F22" s="24"/>
      <c r="G22" s="24"/>
      <c r="H22" s="24"/>
    </row>
    <row r="23" spans="2:8">
      <c r="B23" s="25" t="s">
        <v>79</v>
      </c>
      <c r="C23" s="25"/>
      <c r="D23" s="25"/>
      <c r="E23" s="25"/>
      <c r="F23" s="25"/>
      <c r="G23" s="25"/>
      <c r="H23" s="25"/>
    </row>
    <row r="24" spans="2:8">
      <c r="B24" s="25"/>
      <c r="C24" s="25"/>
      <c r="D24" s="25"/>
      <c r="E24" s="25"/>
      <c r="F24" s="25"/>
      <c r="G24" s="25"/>
      <c r="H24" s="25"/>
    </row>
    <row r="25" spans="2:8">
      <c r="B25" s="25"/>
      <c r="C25" s="25"/>
      <c r="D25" s="25"/>
      <c r="E25" s="25"/>
      <c r="F25" s="25"/>
      <c r="G25" s="25"/>
      <c r="H25" s="25"/>
    </row>
    <row r="26" spans="2:8">
      <c r="B26" s="25"/>
      <c r="C26" s="25"/>
      <c r="D26" s="25"/>
      <c r="E26" s="25"/>
      <c r="F26" s="25"/>
      <c r="G26" s="25"/>
      <c r="H26" s="25"/>
    </row>
    <row r="28" spans="2:8">
      <c r="B28" s="26" t="s">
        <v>80</v>
      </c>
      <c r="C28" s="26"/>
      <c r="D28" s="26"/>
      <c r="E28" s="26"/>
      <c r="F28" s="26"/>
      <c r="G28" s="26"/>
      <c r="H28" s="26"/>
    </row>
    <row r="29" spans="2:8">
      <c r="B29" s="26"/>
      <c r="C29" s="26"/>
      <c r="D29" s="26"/>
      <c r="E29" s="26"/>
      <c r="F29" s="26"/>
      <c r="G29" s="26"/>
      <c r="H29" s="26"/>
    </row>
    <row r="30" spans="2:8">
      <c r="B30" s="26"/>
      <c r="C30" s="26"/>
      <c r="D30" s="26"/>
      <c r="E30" s="26"/>
      <c r="F30" s="26"/>
      <c r="G30" s="26"/>
      <c r="H30" s="26"/>
    </row>
    <row r="31" spans="2:8">
      <c r="B31" s="26"/>
      <c r="C31" s="26"/>
      <c r="D31" s="26"/>
      <c r="E31" s="26"/>
      <c r="F31" s="26"/>
      <c r="G31" s="26"/>
      <c r="H31" s="26"/>
    </row>
    <row r="33" spans="2:2">
      <c r="B33" s="27" t="s">
        <v>81</v>
      </c>
    </row>
  </sheetData>
  <mergeCells count="11">
    <mergeCell ref="B1:H1"/>
    <mergeCell ref="B2:H2"/>
    <mergeCell ref="B4:H4"/>
    <mergeCell ref="B5:H8"/>
    <mergeCell ref="B10:H10"/>
    <mergeCell ref="B11:H14"/>
    <mergeCell ref="B16:H16"/>
    <mergeCell ref="B17:H20"/>
    <mergeCell ref="B22:H22"/>
    <mergeCell ref="B23:H26"/>
    <mergeCell ref="B28:H31"/>
  </mergeCells>
  <hyperlinks>
    <hyperlink ref="B3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showGridLines="0" workbookViewId="0"/>
  </sheetViews>
  <sheetFormatPr defaultRowHeight="15"/>
  <cols>
    <col min="1" max="1" width="22.7109375" customWidth="1"/>
    <col min="2" max="4" width="18.7109375" customWidth="1"/>
  </cols>
  <sheetData>
    <row r="1" spans="1:4" ht="34" customHeight="1">
      <c r="A1" s="1" t="s">
        <v>82</v>
      </c>
      <c r="B1" s="1"/>
      <c r="C1" s="1"/>
      <c r="D1" s="1"/>
    </row>
    <row r="2" spans="1:4">
      <c r="A2" s="26" t="s">
        <v>83</v>
      </c>
      <c r="B2" s="26"/>
      <c r="C2" s="26"/>
      <c r="D2" s="26"/>
    </row>
    <row r="3" spans="1:4">
      <c r="A3" s="26"/>
      <c r="B3" s="26"/>
      <c r="C3" s="26"/>
      <c r="D3" s="26"/>
    </row>
    <row r="5" spans="1:4">
      <c r="A5" s="3" t="s">
        <v>84</v>
      </c>
      <c r="B5" s="3" t="s">
        <v>4</v>
      </c>
      <c r="C5" s="3" t="s">
        <v>5</v>
      </c>
      <c r="D5" s="3" t="s">
        <v>6</v>
      </c>
    </row>
    <row r="6" spans="1:4">
      <c r="A6" s="5" t="s">
        <v>16</v>
      </c>
      <c r="B6" s="6">
        <v>300000</v>
      </c>
      <c r="C6" s="6">
        <v>250000</v>
      </c>
      <c r="D6" s="6">
        <v>280000</v>
      </c>
    </row>
    <row r="7" spans="1:4">
      <c r="A7" s="5" t="s">
        <v>18</v>
      </c>
      <c r="B7" s="6">
        <v>100000</v>
      </c>
      <c r="C7" s="6">
        <v>120000</v>
      </c>
      <c r="D7" s="6">
        <v>110000</v>
      </c>
    </row>
    <row r="8" spans="1:4">
      <c r="A8" s="5" t="s">
        <v>27</v>
      </c>
      <c r="B8" s="6">
        <v>1000000</v>
      </c>
      <c r="C8" s="6">
        <v>1080000</v>
      </c>
      <c r="D8" s="6">
        <v>1050000</v>
      </c>
    </row>
    <row r="9" spans="1:4">
      <c r="A9" s="5" t="s">
        <v>29</v>
      </c>
      <c r="B9" s="6">
        <v>500000</v>
      </c>
      <c r="C9" s="6">
        <v>520000</v>
      </c>
      <c r="D9" s="6">
        <v>540000</v>
      </c>
    </row>
    <row r="10" spans="1:4">
      <c r="A10" s="16" t="s">
        <v>57</v>
      </c>
      <c r="B10" s="17">
        <f>SUM(B6:B9)</f>
        <v>1900000</v>
      </c>
      <c r="C10" s="17">
        <f>SUM(C6:C9)</f>
        <v>1970000</v>
      </c>
      <c r="D10" s="17">
        <f>SUM(D6:D9)</f>
        <v>1980000</v>
      </c>
    </row>
    <row r="11" spans="1:4">
      <c r="A11" s="18" t="s">
        <v>58</v>
      </c>
      <c r="C11" s="19">
        <f>C10-B10</f>
        <v>70000</v>
      </c>
      <c r="D11" s="19">
        <f>D10-C10</f>
        <v>10000</v>
      </c>
    </row>
    <row r="13" spans="1:4">
      <c r="A13" s="26" t="s">
        <v>85</v>
      </c>
      <c r="B13" s="26"/>
      <c r="C13" s="26"/>
      <c r="D13" s="26"/>
    </row>
    <row r="14" spans="1:4">
      <c r="A14" s="26"/>
      <c r="B14" s="26"/>
      <c r="C14" s="26"/>
      <c r="D14" s="26"/>
    </row>
    <row r="15" spans="1:4">
      <c r="A15" s="26"/>
      <c r="B15" s="26"/>
      <c r="C15" s="26"/>
      <c r="D15" s="26"/>
    </row>
    <row r="16" spans="1:4">
      <c r="A16" s="26"/>
      <c r="B16" s="26"/>
      <c r="C16" s="26"/>
      <c r="D16" s="26"/>
    </row>
  </sheetData>
  <mergeCells count="3">
    <mergeCell ref="A1:D1"/>
    <mergeCell ref="A2:D3"/>
    <mergeCell ref="A13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資産記録</vt:lpstr>
      <vt:lpstr>ダッシュボード</vt:lpstr>
      <vt:lpstr>使い方</vt:lpstr>
      <vt:lpstr>記入例（架空）</vt:lpstr>
      <vt:lpstr>資産記録!Print_Area</vt:lpstr>
      <vt:lpstr>資産記録!Print_Titles</vt:lpstr>
    </vt:vector>
  </TitlesOfParts>
  <Manager>GAIZEN FINANCE</Manager>
  <Company>GAIZEN FINANCE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GAIZEN FINANCE 月次資産記録テンプレート</dc:title>
  <dc:subject>銀行・証券・ポイント・現金・暗号資産の月次残高管理</dc:subject>
  <dc:creator>GAIZEN FINANCE</dc:creator>
  <cp:keywords>資産管理, 月次記録, 投資, GAIZEN FINANCE</cp:keywords>
  <dc:description>個人情報を含まない配布用テンプレート</dc:description>
  <cp:lastModifiedBy>GAIZEN FINANCE</cp:lastModifiedBy>
  <dcterms:created xsi:type="dcterms:W3CDTF">2026-09-10T23:55:13Z</dcterms:created>
  <dcterms:modified xsi:type="dcterms:W3CDTF">2026-09-10T23:55:13Z</dcterms:modified>
  <cp:category>Personal Finance Template</cp:category>
</cp:coreProperties>
</file>